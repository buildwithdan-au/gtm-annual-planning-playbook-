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ssumptions" sheetId="2" state="visible" r:id="rId4"/>
    <sheet name="Capacity Model" sheetId="3" state="visible" r:id="rId5"/>
    <sheet name="Hiring Plan" sheetId="4" state="visible" r:id="rId6"/>
    <sheet name="Summary 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<sst xmlns="http://schemas.openxmlformats.org/spreadsheetml/2006/main" count="87" uniqueCount="78">
  <si>
    <t xml:space="preserve">Sales Capacity Model</t>
  </si>
  <si>
    <t xml:space="preserve">How to use this workbook</t>
  </si>
  <si>
    <t xml:space="preserve">Purpose</t>
  </si>
  <si>
    <t xml:space="preserve">Calculates how many quota-carrying reps are needed per segment to hit bookings targets, adjusting for new-hire ramp productivity and expected attrition.</t>
  </si>
  <si>
    <t xml:space="preserve">Tab: Assumptions</t>
  </si>
  <si>
    <t xml:space="preserve">Global inputs — ramp curve, attrition rate, quota-to-OTE ratio. Edit the yellow cells.</t>
  </si>
  <si>
    <t xml:space="preserve">Tab: Capacity Model</t>
  </si>
  <si>
    <t xml:space="preserve">Core calculation, one row per segment. Blue cells are inputs (bookings target, mature quota, new-hire mix). Black cells are formulas — do not overwrite.</t>
  </si>
  <si>
    <t xml:space="preserve">Tab: Hiring Plan</t>
  </si>
  <si>
    <t xml:space="preserve">Translates total reps needed into a quarterly hiring plan against current headcount.</t>
  </si>
  <si>
    <t xml:space="preserve">Tab: Summary Dashboard</t>
  </si>
  <si>
    <t xml:space="preserve">Roll-up view and chart of reps needed and capacity coverage by segment.</t>
  </si>
  <si>
    <t xml:space="preserve">Color legend</t>
  </si>
  <si>
    <t xml:space="preserve">Blue text</t>
  </si>
  <si>
    <t xml:space="preserve">Hardcoded input — replace with your own numbers</t>
  </si>
  <si>
    <t xml:space="preserve">Black text</t>
  </si>
  <si>
    <t xml:space="preserve">Formula — recalculates automatically, do not hardcode over it</t>
  </si>
  <si>
    <t xml:space="preserve">Green text</t>
  </si>
  <si>
    <t xml:space="preserve">Link to another sheet in this workbook</t>
  </si>
  <si>
    <t xml:space="preserve">Yellow fill</t>
  </si>
  <si>
    <t xml:space="preserve">Key assumption or cell you should review/fill in before using the model</t>
  </si>
  <si>
    <t xml:space="preserve">Note</t>
  </si>
  <si>
    <t xml:space="preserve">Example values are placeholders based on typical $50M–$2B ARR SaaS benchmarks. Replace every blue cell with your own actuals before relying on outputs.</t>
  </si>
  <si>
    <t xml:space="preserve">Global Assumptions</t>
  </si>
  <si>
    <t xml:space="preserve">Fiscal Year</t>
  </si>
  <si>
    <t xml:space="preserve">FY27</t>
  </si>
  <si>
    <t xml:space="preserve">New-Hire Ramp Curve</t>
  </si>
  <si>
    <t xml:space="preserve">% of mature-rep quota a new hire carries, by quarter of tenure</t>
  </si>
  <si>
    <t xml:space="preserve">Quarter of tenure</t>
  </si>
  <si>
    <t xml:space="preserve">Q1</t>
  </si>
  <si>
    <t xml:space="preserve">Q2</t>
  </si>
  <si>
    <t xml:space="preserve">Q3</t>
  </si>
  <si>
    <t xml:space="preserve">Q4</t>
  </si>
  <si>
    <t xml:space="preserve">Productivity (% of full quota)</t>
  </si>
  <si>
    <t xml:space="preserve">Average Year-1 New-Hire Productivity (calculated)</t>
  </si>
  <si>
    <t xml:space="preserve">Attrition &amp; Comp Assumptions</t>
  </si>
  <si>
    <t xml:space="preserve">Annual Regrettable Attrition Rate (quota-carrying reps)</t>
  </si>
  <si>
    <t xml:space="preserve">Quota-to-OTE Ratio (x)</t>
  </si>
  <si>
    <t xml:space="preserve">Average Time-to-Backfill an Open Territory (months)</t>
  </si>
  <si>
    <t xml:space="preserve">Segment Capacity Model</t>
  </si>
  <si>
    <t xml:space="preserve">Reps needed to hit bookings target, adjusted for new-hire ramp and attrition</t>
  </si>
  <si>
    <t xml:space="preserve">Segment</t>
  </si>
  <si>
    <t xml:space="preserve">Annual Bookings
Target ($)</t>
  </si>
  <si>
    <t xml:space="preserve">Mature Rep
Annual Quota ($)</t>
  </si>
  <si>
    <t xml:space="preserve">Raw FTE Needed
(mature-equivalent)</t>
  </si>
  <si>
    <t xml:space="preserve">New Hires as
% of Team</t>
  </si>
  <si>
    <t xml:space="preserve">Avg New-Hire
Productivity</t>
  </si>
  <si>
    <t xml:space="preserve">Blended Team
Productivity</t>
  </si>
  <si>
    <t xml:space="preserve">Headcount Needed
(ramp-adjusted)</t>
  </si>
  <si>
    <t xml:space="preserve">Attrition
Rate</t>
  </si>
  <si>
    <t xml:space="preserve">Total Reps Needed
(incl. backfill)</t>
  </si>
  <si>
    <t xml:space="preserve">Total Reps Needed
(rounded up)</t>
  </si>
  <si>
    <t xml:space="preserve">Enterprise / Strategic</t>
  </si>
  <si>
    <t xml:space="preserve">Mid-Market / Commercial</t>
  </si>
  <si>
    <t xml:space="preserve">SMB / Velocity</t>
  </si>
  <si>
    <t xml:space="preserve">Total</t>
  </si>
  <si>
    <t xml:space="preserve">Note: Blended Team Productivity = (1 - New-Hire %) x 100% + New-Hire % x Avg New-Hire Productivity. Total Reps Needed adds an attrition buffer on top of ramp-adjusted headcount.</t>
  </si>
  <si>
    <t xml:space="preserve">Quarterly Hiring Plan</t>
  </si>
  <si>
    <t xml:space="preserve">Phases net-new reps needed across the fiscal year</t>
  </si>
  <si>
    <t xml:space="preserve">Current
Headcount</t>
  </si>
  <si>
    <t xml:space="preserve">Target Headcount
(from Capacity Model)</t>
  </si>
  <si>
    <t xml:space="preserve">Net New Hires
Needed</t>
  </si>
  <si>
    <t xml:space="preserve">Q1 Hires</t>
  </si>
  <si>
    <t xml:space="preserve">Q2 Hires</t>
  </si>
  <si>
    <t xml:space="preserve">Q3 Hires</t>
  </si>
  <si>
    <t xml:space="preserve">Q4 Hires</t>
  </si>
  <si>
    <t xml:space="preserve">End-of-Year
Headcount (check)</t>
  </si>
  <si>
    <t xml:space="preserve">Q1-Q3 default to an even split of net-new hires (rounded up); Q4 absorbs the remainder. Overwrite the Q1-Q4 cells directly to reflect an actual hiring plan (e.g., new-hire cohorts, seasonality, approved headcount timing).</t>
  </si>
  <si>
    <t xml:space="preserve">Capacity Model — Summary</t>
  </si>
  <si>
    <t xml:space="preserve">Fiscal Year: </t>
  </si>
  <si>
    <t xml:space="preserve">Total Bookings Target ($)</t>
  </si>
  <si>
    <t xml:space="preserve">Total Reps Needed (fully staffed, incl. backfill)</t>
  </si>
  <si>
    <t xml:space="preserve">Current Total Headcount</t>
  </si>
  <si>
    <t xml:space="preserve">Net New Hires Needed (all segments)</t>
  </si>
  <si>
    <t xml:space="preserve">Bookings Target ($)</t>
  </si>
  <si>
    <t xml:space="preserve">Reps Needed</t>
  </si>
  <si>
    <t xml:space="preserve">Current Headcount</t>
  </si>
  <si>
    <t xml:space="preserve">Net New Hires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</si>
</sst>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0.0\x"/>
    <numFmt numFmtId="167" formatCode="0"/>
    <numFmt numFmtId="168" formatCode="\$#,##0;&quot;($&quot;#,##0\);\-"/>
    <numFmt numFmtId="169" formatCode="\$#,##0"/>
    <numFmt numFmtId="170" formatCode="0.00"/>
    <numFmt numFmtId="171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Reps Needed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Dashboard'!D11</c:f>
              <c:strCache>
                <c:ptCount val="1"/>
                <c:pt idx="0">
                  <c:v>Reps Needed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Dashboard'!$B$12:$B$14</c:f>
              <c:strCache>
                <c:ptCount val="3"/>
                <c:pt idx="0">
                  <c:v>Enterprise / Strategic</c:v>
                </c:pt>
                <c:pt idx="1">
                  <c:v>Mid-Market / Commercial</c:v>
                </c:pt>
                <c:pt idx="2">
                  <c:v>SMB / Velocity</c:v>
                </c:pt>
              </c:strCache>
            </c:strRef>
          </c:cat>
          <c:val>
            <c:numRef>
              <c:f>'Summary Dashboard'!$D$12:$D$14</c:f>
              <c:numCache>
                <c:formatCode>0</c:formatCode>
                <c:ptCount val="3"/>
                <c:pt idx="0">
                  <c:v>17</c:v>
                </c:pt>
                <c:pt idx="1">
                  <c:v>46</c:v>
                </c:pt>
                <c:pt idx="2">
                  <c:v>43</c:v>
                </c:pt>
              </c:numCache>
            </c:numRef>
          </c:val>
        </c:ser>
        <c:gapWidth val="150"/>
        <c:overlap val="0"/>
        <c:axId val="2824263"/>
        <c:axId val="3612826"/>
      </c:barChart>
      <c:catAx>
        <c:axId val="28242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2826"/>
        <c:crosses val="autoZero"/>
        <c:auto val="1"/>
        <c:lblAlgn val="ctr"/>
        <c:lblOffset val="100"/>
        <c:noMultiLvlLbl val="0"/>
      </c:catAx>
      <c:valAx>
        <c:axId val="36128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42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10440</xdr:rowOff>
    </xdr:from>
    <xdr:to>
      <xdr:col>4</xdr:col>
      <xdr:colOff>825480</xdr:colOff>
      <xdr:row>32</xdr:row>
      <xdr:rowOff>11520</xdr:rowOff>
    </xdr:to>
    <xdr:graphicFrame>
      <xdr:nvGraphicFramePr>
        <xdr:cNvPr id="0" name="Chart 1"/>
        <xdr:cNvGraphicFramePr/>
      </xdr:nvGraphicFramePr>
      <xdr:xfrm>
        <a:off x="281880" y="3048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9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7.5" hidden="false" customHeight="true" outlineLevel="0" collapsed="false">
      <c r="B5" s="3"/>
      <c r="C5" s="4"/>
    </row>
    <row r="6" customFormat="false" ht="30" hidden="false" customHeight="true" outlineLevel="0" collapsed="false">
      <c r="B6" s="3" t="s">
        <v>2</v>
      </c>
      <c r="C6" s="4" t="s">
        <v>3</v>
      </c>
    </row>
    <row r="7" customFormat="false" ht="30" hidden="false" customHeight="true" outlineLevel="0" collapsed="false">
      <c r="B7" s="3" t="s">
        <v>4</v>
      </c>
      <c r="C7" s="4" t="s">
        <v>5</v>
      </c>
    </row>
    <row r="8" customFormat="false" ht="30" hidden="false" customHeight="true" outlineLevel="0" collapsed="false">
      <c r="B8" s="3" t="s">
        <v>6</v>
      </c>
      <c r="C8" s="4" t="s">
        <v>7</v>
      </c>
    </row>
    <row r="9" customFormat="false" ht="30" hidden="false" customHeight="true" outlineLevel="0" collapsed="false">
      <c r="B9" s="3" t="s">
        <v>8</v>
      </c>
      <c r="C9" s="4" t="s">
        <v>9</v>
      </c>
    </row>
    <row r="10" customFormat="false" ht="30" hidden="false" customHeight="true" outlineLevel="0" collapsed="false">
      <c r="B10" s="3" t="s">
        <v>10</v>
      </c>
      <c r="C10" s="4" t="s">
        <v>11</v>
      </c>
    </row>
    <row r="12" customFormat="false" ht="15" hidden="false" customHeight="false" outlineLevel="0" collapsed="false">
      <c r="B12" s="2" t="s">
        <v>12</v>
      </c>
    </row>
    <row r="13" customFormat="false" ht="15" hidden="false" customHeight="false" outlineLevel="0" collapsed="false">
      <c r="B13" s="5" t="s">
        <v>13</v>
      </c>
      <c r="C13" s="6" t="s">
        <v>14</v>
      </c>
    </row>
    <row r="14" customFormat="false" ht="15" hidden="false" customHeight="false" outlineLevel="0" collapsed="false">
      <c r="B14" s="6" t="s">
        <v>15</v>
      </c>
      <c r="C14" s="6" t="s">
        <v>16</v>
      </c>
    </row>
    <row r="15" customFormat="false" ht="15" hidden="false" customHeight="false" outlineLevel="0" collapsed="false">
      <c r="B15" s="7" t="s">
        <v>17</v>
      </c>
      <c r="C15" s="6" t="s">
        <v>18</v>
      </c>
    </row>
    <row r="16" customFormat="false" ht="15" hidden="false" customHeight="false" outlineLevel="0" collapsed="false">
      <c r="B16" s="8" t="s">
        <v>19</v>
      </c>
      <c r="C16" s="6" t="s">
        <v>20</v>
      </c>
    </row>
    <row r="18" customFormat="false" ht="30" hidden="false" customHeight="true" outlineLevel="0" collapsed="false">
      <c r="B18" s="3" t="s">
        <v>21</v>
      </c>
      <c r="C18" s="9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7" min="3" style="0" width="14"/>
  </cols>
  <sheetData>
    <row r="2" customFormat="false" ht="17.35" hidden="false" customHeight="false" outlineLevel="0" collapsed="false">
      <c r="B2" s="1" t="s">
        <v>23</v>
      </c>
    </row>
    <row r="4" customFormat="false" ht="15" hidden="false" customHeight="false" outlineLevel="0" collapsed="false">
      <c r="B4" s="10" t="s">
        <v>24</v>
      </c>
      <c r="C4" s="11" t="s">
        <v>25</v>
      </c>
    </row>
    <row r="6" customFormat="false" ht="15" hidden="false" customHeight="false" outlineLevel="0" collapsed="false">
      <c r="B6" s="2" t="s">
        <v>26</v>
      </c>
    </row>
    <row r="7" customFormat="false" ht="15" hidden="false" customHeight="false" outlineLevel="0" collapsed="false">
      <c r="B7" s="12" t="s">
        <v>27</v>
      </c>
    </row>
    <row r="9" customFormat="false" ht="15" hidden="false" customHeight="false" outlineLevel="0" collapsed="false">
      <c r="B9" s="3" t="s">
        <v>28</v>
      </c>
      <c r="C9" s="13" t="s">
        <v>29</v>
      </c>
      <c r="D9" s="13" t="s">
        <v>30</v>
      </c>
      <c r="E9" s="13" t="s">
        <v>31</v>
      </c>
      <c r="F9" s="13" t="s">
        <v>32</v>
      </c>
    </row>
    <row r="10" customFormat="false" ht="15" hidden="false" customHeight="false" outlineLevel="0" collapsed="false">
      <c r="B10" s="0" t="s">
        <v>33</v>
      </c>
      <c r="C10" s="14" t="n">
        <v>0.25</v>
      </c>
      <c r="D10" s="14" t="n">
        <v>0.5</v>
      </c>
      <c r="E10" s="14" t="n">
        <v>0.75</v>
      </c>
      <c r="F10" s="14" t="n">
        <v>1</v>
      </c>
    </row>
    <row r="12" customFormat="false" ht="15" hidden="false" customHeight="false" outlineLevel="0" collapsed="false">
      <c r="B12" s="10" t="s">
        <v>34</v>
      </c>
      <c r="C12" s="15" t="n">
        <f aca="false">AVERAGE(C10:F10)</f>
        <v>0.625</v>
      </c>
    </row>
    <row r="15" customFormat="false" ht="15" hidden="false" customHeight="false" outlineLevel="0" collapsed="false">
      <c r="B15" s="2" t="s">
        <v>35</v>
      </c>
    </row>
    <row r="16" customFormat="false" ht="15" hidden="false" customHeight="false" outlineLevel="0" collapsed="false">
      <c r="B16" s="16" t="s">
        <v>36</v>
      </c>
      <c r="C16" s="14" t="n">
        <v>0.15</v>
      </c>
    </row>
    <row r="17" customFormat="false" ht="15" hidden="false" customHeight="false" outlineLevel="0" collapsed="false">
      <c r="B17" s="16" t="s">
        <v>37</v>
      </c>
      <c r="C17" s="17" t="n">
        <v>5</v>
      </c>
    </row>
    <row r="18" customFormat="false" ht="15" hidden="false" customHeight="false" outlineLevel="0" collapsed="false">
      <c r="B18" s="16" t="s">
        <v>38</v>
      </c>
      <c r="C18" s="18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20"/>
    <col collapsed="false" customWidth="true" hidden="false" outlineLevel="0" max="7" min="5" style="0" width="16"/>
    <col collapsed="false" customWidth="true" hidden="false" outlineLevel="0" max="8" min="8" style="0" width="18"/>
    <col collapsed="false" customWidth="true" hidden="false" outlineLevel="0" max="10" min="9" style="0" width="16"/>
    <col collapsed="false" customWidth="true" hidden="false" outlineLevel="0" max="12" min="11" style="0" width="22"/>
  </cols>
  <sheetData>
    <row r="2" customFormat="false" ht="17.35" hidden="false" customHeight="false" outlineLevel="0" collapsed="false">
      <c r="B2" s="1" t="s">
        <v>39</v>
      </c>
    </row>
    <row r="3" customFormat="false" ht="15" hidden="false" customHeight="false" outlineLevel="0" collapsed="false">
      <c r="B3" s="2" t="s">
        <v>40</v>
      </c>
    </row>
    <row r="5" customFormat="false" ht="42" hidden="false" customHeight="true" outlineLevel="0" collapsed="false">
      <c r="B5" s="19" t="s">
        <v>41</v>
      </c>
      <c r="C5" s="19" t="s">
        <v>42</v>
      </c>
      <c r="D5" s="19" t="s">
        <v>43</v>
      </c>
      <c r="E5" s="19" t="s">
        <v>44</v>
      </c>
      <c r="F5" s="19" t="s">
        <v>45</v>
      </c>
      <c r="G5" s="19" t="s">
        <v>46</v>
      </c>
      <c r="H5" s="19" t="s">
        <v>47</v>
      </c>
      <c r="I5" s="19" t="s">
        <v>48</v>
      </c>
      <c r="J5" s="19" t="s">
        <v>49</v>
      </c>
      <c r="K5" s="19" t="s">
        <v>50</v>
      </c>
      <c r="L5" s="19" t="s">
        <v>51</v>
      </c>
    </row>
    <row r="6" customFormat="false" ht="15" hidden="false" customHeight="false" outlineLevel="0" collapsed="false">
      <c r="B6" s="10" t="s">
        <v>52</v>
      </c>
      <c r="C6" s="20" t="n">
        <v>12000000</v>
      </c>
      <c r="D6" s="21" t="n">
        <v>900000</v>
      </c>
      <c r="E6" s="22" t="n">
        <f aca="false">C6/D6</f>
        <v>13.3333333333333</v>
      </c>
      <c r="F6" s="14" t="n">
        <v>0.15</v>
      </c>
      <c r="G6" s="23" t="n">
        <f aca="false">Assumptions!$C$12</f>
        <v>0.625</v>
      </c>
      <c r="H6" s="15" t="n">
        <f aca="false">(1-F6)*1+F6*G6</f>
        <v>0.94375</v>
      </c>
      <c r="I6" s="22" t="n">
        <f aca="false">E6/H6</f>
        <v>14.1280353200883</v>
      </c>
      <c r="J6" s="23" t="n">
        <f aca="false">Assumptions!$C$16</f>
        <v>0.15</v>
      </c>
      <c r="K6" s="22" t="n">
        <f aca="false">I6*(1+J6)</f>
        <v>16.2472406181015</v>
      </c>
      <c r="L6" s="24" t="n">
        <f aca="false">ROUNDUP(K6,0)</f>
        <v>17</v>
      </c>
    </row>
    <row r="7" customFormat="false" ht="15" hidden="false" customHeight="false" outlineLevel="0" collapsed="false">
      <c r="B7" s="10" t="s">
        <v>53</v>
      </c>
      <c r="C7" s="20" t="n">
        <v>18000000</v>
      </c>
      <c r="D7" s="21" t="n">
        <v>500000</v>
      </c>
      <c r="E7" s="22" t="n">
        <f aca="false">C7/D7</f>
        <v>36</v>
      </c>
      <c r="F7" s="14" t="n">
        <v>0.25</v>
      </c>
      <c r="G7" s="23" t="n">
        <f aca="false">Assumptions!$C$12</f>
        <v>0.625</v>
      </c>
      <c r="H7" s="15" t="n">
        <f aca="false">(1-F7)*1+F7*G7</f>
        <v>0.90625</v>
      </c>
      <c r="I7" s="22" t="n">
        <f aca="false">E7/H7</f>
        <v>39.7241379310345</v>
      </c>
      <c r="J7" s="23" t="n">
        <f aca="false">Assumptions!$C$16</f>
        <v>0.15</v>
      </c>
      <c r="K7" s="22" t="n">
        <f aca="false">I7*(1+J7)</f>
        <v>45.6827586206897</v>
      </c>
      <c r="L7" s="24" t="n">
        <f aca="false">ROUNDUP(K7,0)</f>
        <v>46</v>
      </c>
    </row>
    <row r="8" customFormat="false" ht="15" hidden="false" customHeight="false" outlineLevel="0" collapsed="false">
      <c r="B8" s="10" t="s">
        <v>54</v>
      </c>
      <c r="C8" s="20" t="n">
        <v>8000000</v>
      </c>
      <c r="D8" s="21" t="n">
        <v>250000</v>
      </c>
      <c r="E8" s="22" t="n">
        <f aca="false">C8/D8</f>
        <v>32</v>
      </c>
      <c r="F8" s="14" t="n">
        <v>0.35</v>
      </c>
      <c r="G8" s="23" t="n">
        <f aca="false">Assumptions!$C$12</f>
        <v>0.625</v>
      </c>
      <c r="H8" s="15" t="n">
        <f aca="false">(1-F8)*1+F8*G8</f>
        <v>0.86875</v>
      </c>
      <c r="I8" s="22" t="n">
        <f aca="false">E8/H8</f>
        <v>36.8345323741007</v>
      </c>
      <c r="J8" s="23" t="n">
        <f aca="false">Assumptions!$C$16</f>
        <v>0.15</v>
      </c>
      <c r="K8" s="22" t="n">
        <f aca="false">I8*(1+J8)</f>
        <v>42.3597122302158</v>
      </c>
      <c r="L8" s="24" t="n">
        <f aca="false">ROUNDUP(K8,0)</f>
        <v>43</v>
      </c>
    </row>
    <row r="9" customFormat="false" ht="15" hidden="false" customHeight="false" outlineLevel="0" collapsed="false">
      <c r="B9" s="25" t="s">
        <v>55</v>
      </c>
      <c r="C9" s="26" t="n">
        <f aca="false">SUM(C6:C8)</f>
        <v>38000000</v>
      </c>
      <c r="D9" s="27"/>
      <c r="E9" s="27"/>
      <c r="F9" s="27"/>
      <c r="G9" s="27"/>
      <c r="H9" s="27"/>
      <c r="I9" s="28" t="n">
        <f aca="false">SUM(I6:I8)</f>
        <v>90.6867056252235</v>
      </c>
      <c r="J9" s="27"/>
      <c r="K9" s="28" t="n">
        <f aca="false">SUM(K6:K8)</f>
        <v>104.289711469007</v>
      </c>
      <c r="L9" s="29" t="n">
        <f aca="false">SUM(L6:L8)</f>
        <v>106</v>
      </c>
    </row>
    <row r="11" customFormat="false" ht="27.75" hidden="false" customHeight="true" outlineLevel="0" collapsed="false">
      <c r="B11" s="30" t="s">
        <v>56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</row>
  </sheetData>
  <mergeCells count="1">
    <mergeCell ref="B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9" min="6" style="0" width="12"/>
    <col collapsed="false" customWidth="true" hidden="false" outlineLevel="0" max="10" min="10" style="0" width="16"/>
  </cols>
  <sheetData>
    <row r="2" customFormat="false" ht="17.35" hidden="false" customHeight="false" outlineLevel="0" collapsed="false">
      <c r="B2" s="1" t="s">
        <v>57</v>
      </c>
    </row>
    <row r="3" customFormat="false" ht="15" hidden="false" customHeight="false" outlineLevel="0" collapsed="false">
      <c r="B3" s="2" t="s">
        <v>58</v>
      </c>
    </row>
    <row r="5" customFormat="false" ht="39.75" hidden="false" customHeight="true" outlineLevel="0" collapsed="false">
      <c r="B5" s="19" t="s">
        <v>41</v>
      </c>
      <c r="C5" s="19" t="s">
        <v>59</v>
      </c>
      <c r="D5" s="19" t="s">
        <v>60</v>
      </c>
      <c r="E5" s="19" t="s">
        <v>61</v>
      </c>
      <c r="F5" s="19" t="s">
        <v>62</v>
      </c>
      <c r="G5" s="19" t="s">
        <v>63</v>
      </c>
      <c r="H5" s="19" t="s">
        <v>64</v>
      </c>
      <c r="I5" s="19" t="s">
        <v>65</v>
      </c>
      <c r="J5" s="19" t="s">
        <v>66</v>
      </c>
    </row>
    <row r="6" customFormat="false" ht="15" hidden="false" customHeight="false" outlineLevel="0" collapsed="false">
      <c r="B6" s="10" t="s">
        <v>52</v>
      </c>
      <c r="C6" s="18" t="n">
        <v>6</v>
      </c>
      <c r="D6" s="31" t="n">
        <f aca="false">'Capacity Model'!L6</f>
        <v>17</v>
      </c>
      <c r="E6" s="24" t="n">
        <f aca="false">D6-C6</f>
        <v>11</v>
      </c>
      <c r="F6" s="24" t="n">
        <f aca="false">IF(E6&lt;=0,0,ROUNDUP(E6/4,0))</f>
        <v>3</v>
      </c>
      <c r="G6" s="24" t="n">
        <f aca="false">IF(E6&lt;=0,0,ROUNDUP(E6/4,0))</f>
        <v>3</v>
      </c>
      <c r="H6" s="24" t="n">
        <f aca="false">IF(E6&lt;=0,0,ROUNDUP(E6/4,0))</f>
        <v>3</v>
      </c>
      <c r="I6" s="24" t="n">
        <f aca="false">IF(E6&lt;=0,0,E6-F6-G6-H6)</f>
        <v>2</v>
      </c>
      <c r="J6" s="24" t="n">
        <f aca="false">C6+F6+G6+H6+I6</f>
        <v>17</v>
      </c>
    </row>
    <row r="7" customFormat="false" ht="15" hidden="false" customHeight="false" outlineLevel="0" collapsed="false">
      <c r="B7" s="10" t="s">
        <v>53</v>
      </c>
      <c r="C7" s="18" t="n">
        <v>9</v>
      </c>
      <c r="D7" s="31" t="n">
        <f aca="false">'Capacity Model'!L7</f>
        <v>46</v>
      </c>
      <c r="E7" s="24" t="n">
        <f aca="false">D7-C7</f>
        <v>37</v>
      </c>
      <c r="F7" s="24" t="n">
        <f aca="false">IF(E7&lt;=0,0,ROUNDUP(E7/4,0))</f>
        <v>10</v>
      </c>
      <c r="G7" s="24" t="n">
        <f aca="false">IF(E7&lt;=0,0,ROUNDUP(E7/4,0))</f>
        <v>10</v>
      </c>
      <c r="H7" s="24" t="n">
        <f aca="false">IF(E7&lt;=0,0,ROUNDUP(E7/4,0))</f>
        <v>10</v>
      </c>
      <c r="I7" s="24" t="n">
        <f aca="false">IF(E7&lt;=0,0,E7-F7-G7-H7)</f>
        <v>7</v>
      </c>
      <c r="J7" s="24" t="n">
        <f aca="false">C7+F7+G7+H7+I7</f>
        <v>46</v>
      </c>
    </row>
    <row r="8" customFormat="false" ht="15" hidden="false" customHeight="false" outlineLevel="0" collapsed="false">
      <c r="B8" s="10" t="s">
        <v>54</v>
      </c>
      <c r="C8" s="18" t="n">
        <v>4</v>
      </c>
      <c r="D8" s="31" t="n">
        <f aca="false">'Capacity Model'!L8</f>
        <v>43</v>
      </c>
      <c r="E8" s="24" t="n">
        <f aca="false">D8-C8</f>
        <v>39</v>
      </c>
      <c r="F8" s="24" t="n">
        <f aca="false">IF(E8&lt;=0,0,ROUNDUP(E8/4,0))</f>
        <v>10</v>
      </c>
      <c r="G8" s="24" t="n">
        <f aca="false">IF(E8&lt;=0,0,ROUNDUP(E8/4,0))</f>
        <v>10</v>
      </c>
      <c r="H8" s="24" t="n">
        <f aca="false">IF(E8&lt;=0,0,ROUNDUP(E8/4,0))</f>
        <v>10</v>
      </c>
      <c r="I8" s="24" t="n">
        <f aca="false">IF(E8&lt;=0,0,E8-F8-G8-H8)</f>
        <v>9</v>
      </c>
      <c r="J8" s="24" t="n">
        <f aca="false">C8+F8+G8+H8+I8</f>
        <v>43</v>
      </c>
    </row>
    <row r="9" customFormat="false" ht="15" hidden="false" customHeight="false" outlineLevel="0" collapsed="false">
      <c r="B9" s="25" t="s">
        <v>55</v>
      </c>
      <c r="C9" s="29" t="n">
        <f aca="false">SUM(C6:C8)</f>
        <v>19</v>
      </c>
      <c r="D9" s="29" t="n">
        <f aca="false">SUM(D6:D8)</f>
        <v>106</v>
      </c>
      <c r="E9" s="29" t="n">
        <f aca="false">SUM(E6:E8)</f>
        <v>87</v>
      </c>
      <c r="F9" s="29" t="n">
        <f aca="false">SUM(F6:F8)</f>
        <v>23</v>
      </c>
      <c r="G9" s="29" t="n">
        <f aca="false">SUM(G6:G8)</f>
        <v>23</v>
      </c>
      <c r="H9" s="29" t="n">
        <f aca="false">SUM(H6:H8)</f>
        <v>23</v>
      </c>
      <c r="I9" s="29" t="n">
        <f aca="false">SUM(I6:I8)</f>
        <v>18</v>
      </c>
      <c r="J9" s="29" t="n">
        <f aca="false">SUM(J6:J8)</f>
        <v>106</v>
      </c>
    </row>
    <row r="11" customFormat="false" ht="39.75" hidden="false" customHeight="true" outlineLevel="0" collapsed="false">
      <c r="B11" s="30" t="s">
        <v>67</v>
      </c>
      <c r="C11" s="30"/>
      <c r="D11" s="30"/>
      <c r="E11" s="30"/>
      <c r="F11" s="30"/>
      <c r="G11" s="30"/>
      <c r="H11" s="30"/>
      <c r="I11" s="30"/>
      <c r="J11" s="30"/>
    </row>
  </sheetData>
  <mergeCells count="1">
    <mergeCell ref="B11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6" min="3" style="0" width="20"/>
  </cols>
  <sheetData>
    <row r="2" customFormat="false" ht="17.35" hidden="false" customHeight="false" outlineLevel="0" collapsed="false">
      <c r="B2" s="1" t="s">
        <v>68</v>
      </c>
    </row>
    <row r="3" customFormat="false" ht="15" hidden="false" customHeight="false" outlineLevel="0" collapsed="false">
      <c r="B3" s="3" t="s">
        <v>69</v>
      </c>
      <c r="C3" s="7" t="str">
        <f aca="false">Assumptions!C4</f>
        <v>FY27</v>
      </c>
    </row>
    <row r="5" customFormat="false" ht="15" hidden="false" customHeight="false" outlineLevel="0" collapsed="false">
      <c r="B5" s="10" t="s">
        <v>70</v>
      </c>
      <c r="C5" s="32" t="n">
        <f aca="false">'Capacity Model'!C9</f>
        <v>38000000</v>
      </c>
    </row>
    <row r="6" customFormat="false" ht="15" hidden="false" customHeight="false" outlineLevel="0" collapsed="false">
      <c r="B6" s="10" t="s">
        <v>71</v>
      </c>
      <c r="C6" s="31" t="n">
        <f aca="false">'Capacity Model'!L9</f>
        <v>106</v>
      </c>
    </row>
    <row r="7" customFormat="false" ht="15" hidden="false" customHeight="false" outlineLevel="0" collapsed="false">
      <c r="B7" s="10" t="s">
        <v>72</v>
      </c>
      <c r="C7" s="31" t="n">
        <f aca="false">'Hiring Plan'!C9</f>
        <v>19</v>
      </c>
    </row>
    <row r="8" customFormat="false" ht="15" hidden="false" customHeight="false" outlineLevel="0" collapsed="false">
      <c r="B8" s="10" t="s">
        <v>73</v>
      </c>
      <c r="C8" s="31" t="n">
        <f aca="false">'Hiring Plan'!E9</f>
        <v>87</v>
      </c>
    </row>
    <row r="11" customFormat="false" ht="26.85" hidden="false" customHeight="false" outlineLevel="0" collapsed="false">
      <c r="B11" s="19" t="s">
        <v>41</v>
      </c>
      <c r="C11" s="19" t="s">
        <v>74</v>
      </c>
      <c r="D11" s="19" t="s">
        <v>75</v>
      </c>
      <c r="E11" s="19" t="s">
        <v>76</v>
      </c>
      <c r="F11" s="19" t="s">
        <v>77</v>
      </c>
    </row>
    <row r="12" customFormat="false" ht="15" hidden="false" customHeight="false" outlineLevel="0" collapsed="false">
      <c r="B12" s="10" t="s">
        <v>52</v>
      </c>
      <c r="C12" s="32" t="n">
        <f aca="false">'Capacity Model'!C6</f>
        <v>12000000</v>
      </c>
      <c r="D12" s="31" t="n">
        <f aca="false">'Capacity Model'!L6</f>
        <v>17</v>
      </c>
      <c r="E12" s="31" t="n">
        <f aca="false">'Hiring Plan'!C6</f>
        <v>6</v>
      </c>
      <c r="F12" s="31" t="n">
        <f aca="false">'Hiring Plan'!E6</f>
        <v>11</v>
      </c>
    </row>
    <row r="13" customFormat="false" ht="15" hidden="false" customHeight="false" outlineLevel="0" collapsed="false">
      <c r="B13" s="10" t="s">
        <v>53</v>
      </c>
      <c r="C13" s="32" t="n">
        <f aca="false">'Capacity Model'!C7</f>
        <v>18000000</v>
      </c>
      <c r="D13" s="31" t="n">
        <f aca="false">'Capacity Model'!L7</f>
        <v>46</v>
      </c>
      <c r="E13" s="31" t="n">
        <f aca="false">'Hiring Plan'!C7</f>
        <v>9</v>
      </c>
      <c r="F13" s="31" t="n">
        <f aca="false">'Hiring Plan'!E7</f>
        <v>37</v>
      </c>
    </row>
    <row r="14" customFormat="false" ht="15" hidden="false" customHeight="false" outlineLevel="0" collapsed="false">
      <c r="B14" s="10" t="s">
        <v>54</v>
      </c>
      <c r="C14" s="32" t="n">
        <f aca="false">'Capacity Model'!C8</f>
        <v>8000000</v>
      </c>
      <c r="D14" s="31" t="n">
        <f aca="false">'Capacity Model'!L8</f>
        <v>43</v>
      </c>
      <c r="E14" s="31" t="n">
        <f aca="false">'Hiring Plan'!C8</f>
        <v>4</v>
      </c>
      <c r="F14" s="31" t="n">
        <f aca="false">'Hiring Plan'!E8</f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2026-07-27T05:59:15Z</dcterms:created>
  <dc:creator>openpyxl</dc:creator>
  <dc:description/>
  <dc:language>en-US</dc:language>
  <cp:lastModifiedBy/>
  <dcterms:modified xsi:type="dcterms:W3CDTF">2026-07-27T05:59:21Z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
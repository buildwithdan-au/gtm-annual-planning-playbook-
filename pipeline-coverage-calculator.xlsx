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ssumptions" sheetId="2" state="visible" r:id="rId4"/>
    <sheet name="Coverage Calculator" sheetId="3" state="visible" r:id="rId5"/>
    <sheet name="Summary 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<sst xmlns="http://schemas.openxmlformats.org/spreadsheetml/2006/main" count="76" uniqueCount="66">
  <si>
    <t xml:space="preserve">Pipeline Coverage Calculator</t>
  </si>
  <si>
    <t xml:space="preserve">How to use this workbook</t>
  </si>
  <si>
    <t xml:space="preserve">Purpose</t>
  </si>
  <si>
    <t xml:space="preserve">Calculates whether open pipeline is sufficient to hit remaining quota, using both a simple coverage ratio (total open pipeline / remaining quota) and a stage-weighted coverage ratio (pipeline weighted by historical win rate per stage).</t>
  </si>
  <si>
    <t xml:space="preserve">Tab: Assumptions</t>
  </si>
  <si>
    <t xml:space="preserve">Global inputs — target coverage ratio per segment, win rate by pipeline stage. Edit the yellow cells.</t>
  </si>
  <si>
    <t xml:space="preserve">Tab: Coverage Calculator</t>
  </si>
  <si>
    <t xml:space="preserve">Core calculation, one row per segment. Blue cells are inputs (remaining quota, pipeline by stage). Black cells are formulas — do not overwrite.</t>
  </si>
  <si>
    <t xml:space="preserve">Tab: Summary Dashboard</t>
  </si>
  <si>
    <t xml:space="preserve">Roll-up view and chart comparing actual vs. target coverage ratio by segment.</t>
  </si>
  <si>
    <t xml:space="preserve">Color legend</t>
  </si>
  <si>
    <t xml:space="preserve">Blue text</t>
  </si>
  <si>
    <t xml:space="preserve">Hardcoded input — replace with your own numbers</t>
  </si>
  <si>
    <t xml:space="preserve">Black text</t>
  </si>
  <si>
    <t xml:space="preserve">Formula — recalculates automatically, do not hardcode over it</t>
  </si>
  <si>
    <t xml:space="preserve">Green text</t>
  </si>
  <si>
    <t xml:space="preserve">Link to another sheet in this workbook</t>
  </si>
  <si>
    <t xml:space="preserve">Yellow fill</t>
  </si>
  <si>
    <t xml:space="preserve">Key assumption or cell you should review/fill in before using the model</t>
  </si>
  <si>
    <t xml:space="preserve">Note</t>
  </si>
  <si>
    <t xml:space="preserve">Example values are placeholders. Replace every blue cell with your own actuals (from CRM export) before relying on outputs. Coverage ratio benchmarks of 3-4x are common in SaaS, but should be back-tested against your own historical stage-to-close win rates.</t>
  </si>
  <si>
    <t xml:space="preserve">Global Assumptions</t>
  </si>
  <si>
    <t xml:space="preserve">Period</t>
  </si>
  <si>
    <t xml:space="preserve">Q3 FY27</t>
  </si>
  <si>
    <t xml:space="preserve">Target Coverage Ratio by Segment</t>
  </si>
  <si>
    <t xml:space="preserve">Multiple of remaining quota that open pipeline should cover, given typical win rates</t>
  </si>
  <si>
    <t xml:space="preserve">Segment</t>
  </si>
  <si>
    <t xml:space="preserve">Target Coverage Ratio (x)</t>
  </si>
  <si>
    <t xml:space="preserve">Enterprise / Strategic</t>
  </si>
  <si>
    <t xml:space="preserve">Mid-Market / Commercial</t>
  </si>
  <si>
    <t xml:space="preserve">SMB / Velocity</t>
  </si>
  <si>
    <t xml:space="preserve">Win Rate by Pipeline Stage</t>
  </si>
  <si>
    <t xml:space="preserve">Historical probability an opportunity in this stage closes won — used to compute weighted pipeline</t>
  </si>
  <si>
    <t xml:space="preserve">Stage</t>
  </si>
  <si>
    <t xml:space="preserve">Win Rate (%)</t>
  </si>
  <si>
    <t xml:space="preserve">Stage 1 - Qualification</t>
  </si>
  <si>
    <t xml:space="preserve">Stage 2 - Discovery/Demo</t>
  </si>
  <si>
    <t xml:space="preserve">Stage 3 - Proposal</t>
  </si>
  <si>
    <t xml:space="preserve">Stage 4 - Negotiation</t>
  </si>
  <si>
    <t xml:space="preserve">Open pipeline vs. remaining quota, by segment</t>
  </si>
  <si>
    <t xml:space="preserve">Remaining Quota
($)</t>
  </si>
  <si>
    <t xml:space="preserve">Target Coverage
Ratio (x)</t>
  </si>
  <si>
    <t xml:space="preserve">Required Pipeline
($)</t>
  </si>
  <si>
    <t xml:space="preserve">Stage 1
Pipeline ($)</t>
  </si>
  <si>
    <t xml:space="preserve">Stage 2
Pipeline ($)</t>
  </si>
  <si>
    <t xml:space="preserve">Stage 3
Pipeline ($)</t>
  </si>
  <si>
    <t xml:space="preserve">Stage 4
Pipeline ($)</t>
  </si>
  <si>
    <t xml:space="preserve">Total Open
Pipeline ($)</t>
  </si>
  <si>
    <t xml:space="preserve">Weighted
Pipeline ($)</t>
  </si>
  <si>
    <t xml:space="preserve">Actual Coverage
Ratio (x)</t>
  </si>
  <si>
    <t xml:space="preserve">Weighted Coverage
Ratio (x)</t>
  </si>
  <si>
    <t xml:space="preserve">Gap to Required
Pipeline ($)</t>
  </si>
  <si>
    <t xml:space="preserve">Status</t>
  </si>
  <si>
    <t xml:space="preserve">Total</t>
  </si>
  <si>
    <t xml:space="preserve">Actual Coverage Ratio = Total Open Pipeline / Remaining Quota. Weighted Coverage Ratio applies each stage's historical win rate before dividing by quota — a more conservative, typically more reliable indicator of whether pipeline will actually convert to bookings. Status flags against the weighted ratio versus the target coverage ratio.</t>
  </si>
  <si>
    <t xml:space="preserve">Pipeline Coverage — Summary</t>
  </si>
  <si>
    <t xml:space="preserve">Period:</t>
  </si>
  <si>
    <t xml:space="preserve">Total Remaining Quota ($)</t>
  </si>
  <si>
    <t xml:space="preserve">Total Open Pipeline ($)</t>
  </si>
  <si>
    <t xml:space="preserve">Total Weighted Pipeline ($)</t>
  </si>
  <si>
    <t xml:space="preserve">Overall Actual Coverage Ratio (x)</t>
  </si>
  <si>
    <t xml:space="preserve">Overall Weighted Coverage Ratio (x)</t>
  </si>
  <si>
    <t xml:space="preserve">Total Gap to Required Pipeline ($)</t>
  </si>
  <si>
    <t xml:space="preserve">Target Ratio (x)</t>
  </si>
  <si>
    <t xml:space="preserve">Actual Ratio (x)</t>
  </si>
  <si>
    <t xml:space="preserve">Weighted Ratio (x)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</si>
</sst>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\x"/>
    <numFmt numFmtId="166" formatCode="0.0%;\(0.0%\);\-"/>
    <numFmt numFmtId="167" formatCode="\$#,##0;&quot;($&quot;#,##0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BBB59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Coverage Ratio: Target vs. Actual vs. Weighted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'Summary Dashboard'!C13</c:f>
              <c:strCache>
                <c:ptCount val="1"/>
                <c:pt idx="0">
                  <c:v>Target Ratio (x)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Dashboard'!$B$14:$B$16</c:f>
              <c:strCache>
                <c:ptCount val="3"/>
                <c:pt idx="0">
                  <c:v>Enterprise / Strategic</c:v>
                </c:pt>
                <c:pt idx="1">
                  <c:v>Mid-Market / Commercial</c:v>
                </c:pt>
                <c:pt idx="2">
                  <c:v>SMB / Velocity</c:v>
                </c:pt>
              </c:strCache>
            </c:strRef>
          </c:cat>
          <c:val>
            <c:numRef>
              <c:f>'Summary Dashboard'!$C$14:$C$16</c:f>
              <c:numCache>
                <c:formatCode>0.00\x</c:formatCode>
                <c:ptCount val="3"/>
                <c:pt idx="0">
                  <c:v>4</c:v>
                </c:pt>
                <c:pt idx="1">
                  <c:v>3.5</c:v>
                </c:pt>
                <c:pt idx="2">
                  <c:v>3</c:v>
                </c:pt>
              </c:numCache>
            </c:numRef>
          </c:val>
        </c:ser>
        <c:ser>
          <c:idx val="1"/>
          <c:order val="1"/>
          <c:tx>
            <c:strRef>
              <c:f>'Summary Dashboard'!D13</c:f>
              <c:strCache>
                <c:ptCount val="1"/>
                <c:pt idx="0">
                  <c:v>Actual Ratio (x)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Dashboard'!$B$14:$B$16</c:f>
              <c:strCache>
                <c:ptCount val="3"/>
                <c:pt idx="0">
                  <c:v>Enterprise / Strategic</c:v>
                </c:pt>
                <c:pt idx="1">
                  <c:v>Mid-Market / Commercial</c:v>
                </c:pt>
                <c:pt idx="2">
                  <c:v>SMB / Velocity</c:v>
                </c:pt>
              </c:strCache>
            </c:strRef>
          </c:cat>
          <c:val>
            <c:numRef>
              <c:f>'Summary Dashboard'!$D$14:$D$16</c:f>
              <c:numCache>
                <c:formatCode>0.00\x</c:formatCode>
                <c:ptCount val="3"/>
                <c:pt idx="0">
                  <c:v>3.5</c:v>
                </c:pt>
                <c:pt idx="1">
                  <c:v>3.33333333333333</c:v>
                </c:pt>
                <c:pt idx="2">
                  <c:v>3.11111111111111</c:v>
                </c:pt>
              </c:numCache>
            </c:numRef>
          </c:val>
        </c:ser>
        <c:ser>
          <c:idx val="2"/>
          <c:order val="2"/>
          <c:tx>
            <c:strRef>
              <c:f>'Summary Dashboard'!E13</c:f>
              <c:strCache>
                <c:ptCount val="1"/>
                <c:pt idx="0">
                  <c:v>Weighted Ratio (x)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Dashboard'!$B$14:$B$16</c:f>
              <c:strCache>
                <c:ptCount val="3"/>
                <c:pt idx="0">
                  <c:v>Enterprise / Strategic</c:v>
                </c:pt>
                <c:pt idx="1">
                  <c:v>Mid-Market / Commercial</c:v>
                </c:pt>
                <c:pt idx="2">
                  <c:v>SMB / Velocity</c:v>
                </c:pt>
              </c:strCache>
            </c:strRef>
          </c:cat>
          <c:val>
            <c:numRef>
              <c:f>'Summary Dashboard'!$E$14:$E$16</c:f>
              <c:numCache>
                <c:formatCode>0.00\x</c:formatCode>
                <c:ptCount val="3"/>
                <c:pt idx="0">
                  <c:v>1.05</c:v>
                </c:pt>
                <c:pt idx="1">
                  <c:v>0.966666666666667</c:v>
                </c:pt>
                <c:pt idx="2">
                  <c:v>0.927777777777778</c:v>
                </c:pt>
              </c:numCache>
            </c:numRef>
          </c:val>
        </c:ser>
        <c:gapWidth val="150"/>
        <c:overlap val="0"/>
        <c:axId val="10393046"/>
        <c:axId val="73499016"/>
      </c:barChart>
      <c:catAx>
        <c:axId val="1039304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Segment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99016"/>
        <c:crosses val="autoZero"/>
        <c:auto val="1"/>
        <c:lblAlgn val="ctr"/>
        <c:lblOffset val="100"/>
        <c:noMultiLvlLbl val="0"/>
      </c:catAx>
      <c:valAx>
        <c:axId val="734990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Coverage Ratio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\x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930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17</xdr:row>
      <xdr:rowOff>160560</xdr:rowOff>
    </xdr:from>
    <xdr:to>
      <xdr:col>5</xdr:col>
      <xdr:colOff>136080</xdr:colOff>
      <xdr:row>36</xdr:row>
      <xdr:rowOff>140760</xdr:rowOff>
    </xdr:to>
    <xdr:graphicFrame>
      <xdr:nvGraphicFramePr>
        <xdr:cNvPr id="0" name="Chart 1"/>
        <xdr:cNvGraphicFramePr/>
      </xdr:nvGraphicFramePr>
      <xdr:xfrm>
        <a:off x="281880" y="342900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7.5" hidden="false" customHeight="true" outlineLevel="0" collapsed="false">
      <c r="B5" s="3"/>
      <c r="C5" s="4"/>
    </row>
    <row r="6" customFormat="false" ht="30" hidden="false" customHeight="true" outlineLevel="0" collapsed="false">
      <c r="B6" s="3" t="s">
        <v>2</v>
      </c>
      <c r="C6" s="4" t="s">
        <v>3</v>
      </c>
    </row>
    <row r="7" customFormat="false" ht="30" hidden="false" customHeight="true" outlineLevel="0" collapsed="false">
      <c r="B7" s="3" t="s">
        <v>4</v>
      </c>
      <c r="C7" s="4" t="s">
        <v>5</v>
      </c>
    </row>
    <row r="8" customFormat="false" ht="30" hidden="false" customHeight="true" outlineLevel="0" collapsed="false">
      <c r="B8" s="3" t="s">
        <v>6</v>
      </c>
      <c r="C8" s="4" t="s">
        <v>7</v>
      </c>
    </row>
    <row r="9" customFormat="false" ht="30" hidden="false" customHeight="true" outlineLevel="0" collapsed="false">
      <c r="B9" s="3" t="s">
        <v>8</v>
      </c>
      <c r="C9" s="4" t="s">
        <v>9</v>
      </c>
    </row>
    <row r="11" customFormat="false" ht="15" hidden="false" customHeight="false" outlineLevel="0" collapsed="false">
      <c r="B11" s="2" t="s">
        <v>10</v>
      </c>
    </row>
    <row r="12" customFormat="false" ht="15" hidden="false" customHeight="false" outlineLevel="0" collapsed="false">
      <c r="B12" s="5" t="s">
        <v>11</v>
      </c>
      <c r="C12" s="6" t="s">
        <v>12</v>
      </c>
    </row>
    <row r="13" customFormat="false" ht="15" hidden="false" customHeight="false" outlineLevel="0" collapsed="false">
      <c r="B13" s="6" t="s">
        <v>13</v>
      </c>
      <c r="C13" s="6" t="s">
        <v>14</v>
      </c>
    </row>
    <row r="14" customFormat="false" ht="15" hidden="false" customHeight="false" outlineLevel="0" collapsed="false">
      <c r="B14" s="7" t="s">
        <v>15</v>
      </c>
      <c r="C14" s="6" t="s">
        <v>16</v>
      </c>
    </row>
    <row r="15" customFormat="false" ht="15" hidden="false" customHeight="false" outlineLevel="0" collapsed="false">
      <c r="B15" s="8" t="s">
        <v>17</v>
      </c>
      <c r="C15" s="6" t="s">
        <v>18</v>
      </c>
    </row>
    <row r="17" customFormat="false" ht="39.75" hidden="false" customHeight="true" outlineLevel="0" collapsed="false">
      <c r="B17" s="3" t="s">
        <v>19</v>
      </c>
      <c r="C17" s="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0"/>
    <col collapsed="false" customWidth="true" hidden="false" outlineLevel="0" max="6" min="3" style="0" width="16"/>
  </cols>
  <sheetData>
    <row r="2" customFormat="false" ht="17.35" hidden="false" customHeight="false" outlineLevel="0" collapsed="false">
      <c r="B2" s="1" t="s">
        <v>21</v>
      </c>
    </row>
    <row r="4" customFormat="false" ht="15" hidden="false" customHeight="false" outlineLevel="0" collapsed="false">
      <c r="B4" s="3" t="s">
        <v>22</v>
      </c>
      <c r="C4" s="10" t="s">
        <v>23</v>
      </c>
    </row>
    <row r="6" customFormat="false" ht="15" hidden="false" customHeight="false" outlineLevel="0" collapsed="false">
      <c r="B6" s="2" t="s">
        <v>24</v>
      </c>
    </row>
    <row r="7" customFormat="false" ht="15" hidden="false" customHeight="false" outlineLevel="0" collapsed="false">
      <c r="B7" s="11" t="s">
        <v>25</v>
      </c>
    </row>
    <row r="9" customFormat="false" ht="39.55" hidden="false" customHeight="false" outlineLevel="0" collapsed="false">
      <c r="B9" s="12" t="s">
        <v>26</v>
      </c>
      <c r="C9" s="12" t="s">
        <v>27</v>
      </c>
    </row>
    <row r="10" customFormat="false" ht="15" hidden="false" customHeight="false" outlineLevel="0" collapsed="false">
      <c r="B10" s="13" t="s">
        <v>28</v>
      </c>
      <c r="C10" s="14" t="n">
        <v>4</v>
      </c>
    </row>
    <row r="11" customFormat="false" ht="15" hidden="false" customHeight="false" outlineLevel="0" collapsed="false">
      <c r="B11" s="13" t="s">
        <v>29</v>
      </c>
      <c r="C11" s="14" t="n">
        <v>3.5</v>
      </c>
    </row>
    <row r="12" customFormat="false" ht="15" hidden="false" customHeight="false" outlineLevel="0" collapsed="false">
      <c r="B12" s="13" t="s">
        <v>30</v>
      </c>
      <c r="C12" s="14" t="n">
        <v>3</v>
      </c>
    </row>
    <row r="15" customFormat="false" ht="15" hidden="false" customHeight="false" outlineLevel="0" collapsed="false">
      <c r="B15" s="2" t="s">
        <v>31</v>
      </c>
    </row>
    <row r="16" customFormat="false" ht="15" hidden="false" customHeight="false" outlineLevel="0" collapsed="false">
      <c r="B16" s="11" t="s">
        <v>32</v>
      </c>
    </row>
    <row r="18" customFormat="false" ht="15" hidden="false" customHeight="false" outlineLevel="0" collapsed="false">
      <c r="B18" s="12" t="s">
        <v>33</v>
      </c>
      <c r="C18" s="12" t="s">
        <v>34</v>
      </c>
    </row>
    <row r="19" customFormat="false" ht="15" hidden="false" customHeight="false" outlineLevel="0" collapsed="false">
      <c r="B19" s="13" t="s">
        <v>35</v>
      </c>
      <c r="C19" s="15" t="n">
        <v>0.1</v>
      </c>
    </row>
    <row r="20" customFormat="false" ht="15" hidden="false" customHeight="false" outlineLevel="0" collapsed="false">
      <c r="B20" s="13" t="s">
        <v>36</v>
      </c>
      <c r="C20" s="15" t="n">
        <v>0.25</v>
      </c>
    </row>
    <row r="21" customFormat="false" ht="15" hidden="false" customHeight="false" outlineLevel="0" collapsed="false">
      <c r="B21" s="13" t="s">
        <v>37</v>
      </c>
      <c r="C21" s="15" t="n">
        <v>0.5</v>
      </c>
    </row>
    <row r="22" customFormat="false" ht="15" hidden="false" customHeight="false" outlineLevel="0" collapsed="false">
      <c r="B22" s="13" t="s">
        <v>38</v>
      </c>
      <c r="C22" s="15" t="n">
        <v>0.75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9" min="6" style="0" width="14"/>
    <col collapsed="false" customWidth="true" hidden="false" outlineLevel="0" max="10" min="10" style="0" width="16"/>
    <col collapsed="false" customWidth="true" hidden="false" outlineLevel="0" max="13" min="11" style="0" width="18"/>
    <col collapsed="false" customWidth="true" hidden="false" outlineLevel="0" max="14" min="14" style="0" width="14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39</v>
      </c>
    </row>
    <row r="5" customFormat="false" ht="43.5" hidden="false" customHeight="true" outlineLevel="0" collapsed="false">
      <c r="B5" s="12" t="s">
        <v>26</v>
      </c>
      <c r="C5" s="12" t="s">
        <v>40</v>
      </c>
      <c r="D5" s="12" t="s">
        <v>41</v>
      </c>
      <c r="E5" s="12" t="s">
        <v>42</v>
      </c>
      <c r="F5" s="12" t="s">
        <v>43</v>
      </c>
      <c r="G5" s="12" t="s">
        <v>44</v>
      </c>
      <c r="H5" s="12" t="s">
        <v>45</v>
      </c>
      <c r="I5" s="12" t="s">
        <v>46</v>
      </c>
      <c r="J5" s="12" t="s">
        <v>47</v>
      </c>
      <c r="K5" s="12" t="s">
        <v>48</v>
      </c>
      <c r="L5" s="12" t="s">
        <v>49</v>
      </c>
      <c r="M5" s="12" t="s">
        <v>50</v>
      </c>
      <c r="N5" s="12" t="s">
        <v>51</v>
      </c>
      <c r="O5" s="12" t="s">
        <v>52</v>
      </c>
    </row>
    <row r="6" customFormat="false" ht="15" hidden="false" customHeight="false" outlineLevel="0" collapsed="false">
      <c r="B6" s="16" t="s">
        <v>28</v>
      </c>
      <c r="C6" s="17" t="n">
        <v>6000000</v>
      </c>
      <c r="D6" s="18" t="n">
        <f aca="false">Assumptions!C10</f>
        <v>4</v>
      </c>
      <c r="E6" s="19" t="n">
        <f aca="false">C6*D6</f>
        <v>24000000</v>
      </c>
      <c r="F6" s="17" t="n">
        <v>8000000</v>
      </c>
      <c r="G6" s="17" t="n">
        <v>6500000</v>
      </c>
      <c r="H6" s="17" t="n">
        <v>4000000</v>
      </c>
      <c r="I6" s="17" t="n">
        <v>2500000</v>
      </c>
      <c r="J6" s="19" t="n">
        <f aca="false">SUM(F6:I6)</f>
        <v>21000000</v>
      </c>
      <c r="K6" s="19" t="n">
        <f aca="false">F6*Assumptions!$C$19+G6*Assumptions!$C$20+H6*Assumptions!$C$21+I6*Assumptions!$C$22</f>
        <v>6300000</v>
      </c>
      <c r="L6" s="20" t="n">
        <f aca="false">J6/C6</f>
        <v>3.5</v>
      </c>
      <c r="M6" s="20" t="n">
        <f aca="false">K6/C6</f>
        <v>1.05</v>
      </c>
      <c r="N6" s="19" t="n">
        <f aca="false">MAX(E6-J6,0)</f>
        <v>3000000</v>
      </c>
      <c r="O6" s="21" t="str">
        <f aca="false">IF(L6&gt;=D6,"On Track","At Risk")</f>
        <v>At Risk</v>
      </c>
    </row>
    <row r="7" customFormat="false" ht="15" hidden="false" customHeight="false" outlineLevel="0" collapsed="false">
      <c r="B7" s="16" t="s">
        <v>29</v>
      </c>
      <c r="C7" s="17" t="n">
        <v>9000000</v>
      </c>
      <c r="D7" s="18" t="n">
        <f aca="false">Assumptions!C11</f>
        <v>3.5</v>
      </c>
      <c r="E7" s="19" t="n">
        <f aca="false">C7*D7</f>
        <v>31500000</v>
      </c>
      <c r="F7" s="17" t="n">
        <v>12000000</v>
      </c>
      <c r="G7" s="17" t="n">
        <v>9000000</v>
      </c>
      <c r="H7" s="17" t="n">
        <v>6000000</v>
      </c>
      <c r="I7" s="17" t="n">
        <v>3000000</v>
      </c>
      <c r="J7" s="19" t="n">
        <f aca="false">SUM(F7:I7)</f>
        <v>30000000</v>
      </c>
      <c r="K7" s="19" t="n">
        <f aca="false">F7*Assumptions!$C$19+G7*Assumptions!$C$20+H7*Assumptions!$C$21+I7*Assumptions!$C$22</f>
        <v>8700000</v>
      </c>
      <c r="L7" s="20" t="n">
        <f aca="false">J7/C7</f>
        <v>3.33333333333333</v>
      </c>
      <c r="M7" s="20" t="n">
        <f aca="false">K7/C7</f>
        <v>0.966666666666667</v>
      </c>
      <c r="N7" s="19" t="n">
        <f aca="false">MAX(E7-J7,0)</f>
        <v>1500000</v>
      </c>
      <c r="O7" s="21" t="str">
        <f aca="false">IF(L7&gt;=D7,"On Track","At Risk")</f>
        <v>At Risk</v>
      </c>
    </row>
    <row r="8" customFormat="false" ht="15" hidden="false" customHeight="false" outlineLevel="0" collapsed="false">
      <c r="B8" s="16" t="s">
        <v>30</v>
      </c>
      <c r="C8" s="17" t="n">
        <v>4500000</v>
      </c>
      <c r="D8" s="18" t="n">
        <f aca="false">Assumptions!C12</f>
        <v>3</v>
      </c>
      <c r="E8" s="19" t="n">
        <f aca="false">C8*D8</f>
        <v>13500000</v>
      </c>
      <c r="F8" s="17" t="n">
        <v>5500000</v>
      </c>
      <c r="G8" s="17" t="n">
        <v>4000000</v>
      </c>
      <c r="H8" s="17" t="n">
        <v>3000000</v>
      </c>
      <c r="I8" s="17" t="n">
        <v>1500000</v>
      </c>
      <c r="J8" s="19" t="n">
        <f aca="false">SUM(F8:I8)</f>
        <v>14000000</v>
      </c>
      <c r="K8" s="19" t="n">
        <f aca="false">F8*Assumptions!$C$19+G8*Assumptions!$C$20+H8*Assumptions!$C$21+I8*Assumptions!$C$22</f>
        <v>4175000</v>
      </c>
      <c r="L8" s="20" t="n">
        <f aca="false">J8/C8</f>
        <v>3.11111111111111</v>
      </c>
      <c r="M8" s="20" t="n">
        <f aca="false">K8/C8</f>
        <v>0.927777777777778</v>
      </c>
      <c r="N8" s="19" t="n">
        <f aca="false">MAX(E8-J8,0)</f>
        <v>0</v>
      </c>
      <c r="O8" s="21" t="str">
        <f aca="false">IF(L8&gt;=D8,"On Track","At Risk")</f>
        <v>On Track</v>
      </c>
    </row>
    <row r="9" customFormat="false" ht="15" hidden="false" customHeight="false" outlineLevel="0" collapsed="false">
      <c r="B9" s="22" t="s">
        <v>53</v>
      </c>
      <c r="C9" s="23" t="n">
        <f aca="false">SUM(C6:C8)</f>
        <v>19500000</v>
      </c>
      <c r="D9" s="24"/>
      <c r="E9" s="23" t="n">
        <f aca="false">SUM(E6:E8)</f>
        <v>69000000</v>
      </c>
      <c r="F9" s="23" t="n">
        <f aca="false">SUM(F6:F8)</f>
        <v>25500000</v>
      </c>
      <c r="G9" s="23" t="n">
        <f aca="false">SUM(G6:G8)</f>
        <v>19500000</v>
      </c>
      <c r="H9" s="23" t="n">
        <f aca="false">SUM(H6:H8)</f>
        <v>13000000</v>
      </c>
      <c r="I9" s="23" t="n">
        <f aca="false">SUM(I6:I8)</f>
        <v>7000000</v>
      </c>
      <c r="J9" s="23" t="n">
        <f aca="false">SUM(J6:J8)</f>
        <v>65000000</v>
      </c>
      <c r="K9" s="23" t="n">
        <f aca="false">SUM(K6:K8)</f>
        <v>19175000</v>
      </c>
      <c r="L9" s="25" t="n">
        <f aca="false">J9/C9</f>
        <v>3.33333333333333</v>
      </c>
      <c r="M9" s="25" t="n">
        <f aca="false">K9/C9</f>
        <v>0.983333333333333</v>
      </c>
      <c r="N9" s="23" t="n">
        <f aca="false">SUM(N6:N8)</f>
        <v>4500000</v>
      </c>
      <c r="O9" s="24"/>
    </row>
    <row r="11" customFormat="false" ht="39.75" hidden="false" customHeight="true" outlineLevel="0" collapsed="false">
      <c r="B11" s="26" t="s">
        <v>54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</row>
  </sheetData>
  <mergeCells count="1">
    <mergeCell ref="B11:O11"/>
  </mergeCells>
  <conditionalFormatting sqref="O6:O8">
    <cfRule type="cellIs" priority="2" operator="equal" aboveAverage="0" equalAverage="0" bottom="0" percent="0" rank="0" text="" dxfId="0">
      <formula>"On Track"</formula>
    </cfRule>
    <cfRule type="cellIs" priority="3" operator="equal" aboveAverage="0" equalAverage="0" bottom="0" percent="0" rank="0" text="" dxfId="1">
      <formula>"At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6" min="3" style="0" width="20"/>
  </cols>
  <sheetData>
    <row r="2" customFormat="false" ht="17.35" hidden="false" customHeight="false" outlineLevel="0" collapsed="false">
      <c r="B2" s="1" t="s">
        <v>55</v>
      </c>
    </row>
    <row r="3" customFormat="false" ht="15" hidden="false" customHeight="false" outlineLevel="0" collapsed="false">
      <c r="B3" s="3" t="s">
        <v>56</v>
      </c>
      <c r="C3" s="7" t="str">
        <f aca="false">Assumptions!C4</f>
        <v>Q3 FY27</v>
      </c>
    </row>
    <row r="5" customFormat="false" ht="15" hidden="false" customHeight="false" outlineLevel="0" collapsed="false">
      <c r="B5" s="16" t="s">
        <v>57</v>
      </c>
      <c r="C5" s="27" t="n">
        <f aca="false">'Coverage Calculator'!C9</f>
        <v>19500000</v>
      </c>
    </row>
    <row r="6" customFormat="false" ht="15" hidden="false" customHeight="false" outlineLevel="0" collapsed="false">
      <c r="B6" s="16" t="s">
        <v>58</v>
      </c>
      <c r="C6" s="27" t="n">
        <f aca="false">'Coverage Calculator'!J9</f>
        <v>65000000</v>
      </c>
    </row>
    <row r="7" customFormat="false" ht="15" hidden="false" customHeight="false" outlineLevel="0" collapsed="false">
      <c r="B7" s="16" t="s">
        <v>59</v>
      </c>
      <c r="C7" s="27" t="n">
        <f aca="false">'Coverage Calculator'!K9</f>
        <v>19175000</v>
      </c>
    </row>
    <row r="8" customFormat="false" ht="15" hidden="false" customHeight="false" outlineLevel="0" collapsed="false">
      <c r="B8" s="16" t="s">
        <v>60</v>
      </c>
      <c r="C8" s="18" t="n">
        <f aca="false">'Coverage Calculator'!L9</f>
        <v>3.33333333333333</v>
      </c>
    </row>
    <row r="9" customFormat="false" ht="15" hidden="false" customHeight="false" outlineLevel="0" collapsed="false">
      <c r="B9" s="16" t="s">
        <v>61</v>
      </c>
      <c r="C9" s="18" t="n">
        <f aca="false">'Coverage Calculator'!M9</f>
        <v>0.983333333333333</v>
      </c>
    </row>
    <row r="10" customFormat="false" ht="15" hidden="false" customHeight="false" outlineLevel="0" collapsed="false">
      <c r="B10" s="16" t="s">
        <v>62</v>
      </c>
      <c r="C10" s="27" t="n">
        <f aca="false">'Coverage Calculator'!N9</f>
        <v>4500000</v>
      </c>
    </row>
    <row r="13" customFormat="false" ht="15" hidden="false" customHeight="false" outlineLevel="0" collapsed="false">
      <c r="B13" s="12" t="s">
        <v>26</v>
      </c>
      <c r="C13" s="12" t="s">
        <v>63</v>
      </c>
      <c r="D13" s="12" t="s">
        <v>64</v>
      </c>
      <c r="E13" s="12" t="s">
        <v>65</v>
      </c>
      <c r="F13" s="12" t="s">
        <v>52</v>
      </c>
    </row>
    <row r="14" customFormat="false" ht="15" hidden="false" customHeight="false" outlineLevel="0" collapsed="false">
      <c r="B14" s="16" t="s">
        <v>28</v>
      </c>
      <c r="C14" s="18" t="n">
        <f aca="false">'Coverage Calculator'!D6</f>
        <v>4</v>
      </c>
      <c r="D14" s="18" t="n">
        <f aca="false">'Coverage Calculator'!L6</f>
        <v>3.5</v>
      </c>
      <c r="E14" s="18" t="n">
        <f aca="false">'Coverage Calculator'!M6</f>
        <v>1.05</v>
      </c>
      <c r="F14" s="28" t="str">
        <f aca="false">'Coverage Calculator'!O6</f>
        <v>At Risk</v>
      </c>
    </row>
    <row r="15" customFormat="false" ht="15" hidden="false" customHeight="false" outlineLevel="0" collapsed="false">
      <c r="B15" s="16" t="s">
        <v>29</v>
      </c>
      <c r="C15" s="18" t="n">
        <f aca="false">'Coverage Calculator'!D7</f>
        <v>3.5</v>
      </c>
      <c r="D15" s="18" t="n">
        <f aca="false">'Coverage Calculator'!L7</f>
        <v>3.33333333333333</v>
      </c>
      <c r="E15" s="18" t="n">
        <f aca="false">'Coverage Calculator'!M7</f>
        <v>0.966666666666667</v>
      </c>
      <c r="F15" s="28" t="str">
        <f aca="false">'Coverage Calculator'!O7</f>
        <v>At Risk</v>
      </c>
    </row>
    <row r="16" customFormat="false" ht="15" hidden="false" customHeight="false" outlineLevel="0" collapsed="false">
      <c r="B16" s="16" t="s">
        <v>30</v>
      </c>
      <c r="C16" s="18" t="n">
        <f aca="false">'Coverage Calculator'!D8</f>
        <v>3</v>
      </c>
      <c r="D16" s="18" t="n">
        <f aca="false">'Coverage Calculator'!L8</f>
        <v>3.11111111111111</v>
      </c>
      <c r="E16" s="18" t="n">
        <f aca="false">'Coverage Calculator'!M8</f>
        <v>0.927777777777778</v>
      </c>
      <c r="F16" s="28" t="str">
        <f aca="false">'Coverage Calculator'!O8</f>
        <v>On Track</v>
      </c>
    </row>
  </sheetData>
  <conditionalFormatting sqref="F14:F16">
    <cfRule type="cellIs" priority="2" operator="equal" aboveAverage="0" equalAverage="0" bottom="0" percent="0" rank="0" text="" dxfId="0">
      <formula>"On Track"</formula>
    </cfRule>
    <cfRule type="cellIs" priority="3" operator="equal" aboveAverage="0" equalAverage="0" bottom="0" percent="0" rank="0" text="" dxfId="1">
      <formula>"At Risk"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2026-07-27T06:03:04Z</dcterms:created>
  <dc:creator>openpyxl</dc:creator>
  <dc:description/>
  <dc:language>en-US</dc:language>
  <cp:lastModifiedBy/>
  <dcterms:modified xsi:type="dcterms:W3CDTF">2026-07-27T06:03:09Z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